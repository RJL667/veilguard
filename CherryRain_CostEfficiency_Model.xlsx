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Savings" sheetId="3" state="visible" r:id="rId3"/>
    <sheet xmlns:r="http://schemas.openxmlformats.org/officeDocument/2006/relationships" name="ROI Summary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&quot;#,##0;[Red]&quot;R&quot;-#,##0"/>
    <numFmt numFmtId="165" formatCode="0.0%"/>
    <numFmt numFmtId="166" formatCode="0.0"/>
    <numFmt numFmtId="167" formatCode="&quot;R&quot;#,##0.00;[Red]&quot;R&quot;-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sz val="11"/>
    </font>
    <font>
      <b val="1"/>
      <color rgb="00FFFFFF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3" fillId="0" borderId="0" pivotButton="0" quotePrefix="0" xfId="0"/>
    <xf numFmtId="165" fontId="3" fillId="5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165" fontId="3" fillId="2" borderId="0" applyAlignment="1" pivotButton="0" quotePrefix="0" xfId="0">
      <alignment horizontal="center" vertical="center"/>
    </xf>
    <xf numFmtId="165" fontId="3" fillId="2" borderId="0" pivotButton="0" quotePrefix="0" xfId="0"/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</cols>
  <sheetData>
    <row r="1">
      <c r="A1" s="1" t="inlineStr">
        <is>
          <t>Cherry Rain — Cost-Efficiency Model: Inputs</t>
        </is>
      </c>
    </row>
    <row r="2">
      <c r="A2" s="2" t="inlineStr">
        <is>
          <t>All monetary values in ZAR. Green cells = editable inputs.</t>
        </is>
      </c>
    </row>
    <row r="4">
      <c r="A4" s="3" t="inlineStr">
        <is>
          <t>Company profile</t>
        </is>
      </c>
    </row>
    <row r="5">
      <c r="A5" t="inlineStr">
        <is>
          <t>Headcount</t>
        </is>
      </c>
      <c r="B5" s="4" t="n">
        <v>45</v>
      </c>
      <c r="C5" t="inlineStr">
        <is>
          <t>FTE</t>
        </is>
      </c>
    </row>
    <row r="6">
      <c r="A6" t="inlineStr">
        <is>
          <t>Email-using staff</t>
        </is>
      </c>
      <c r="B6" s="4" t="n">
        <v>42</v>
      </c>
      <c r="C6" t="inlineStr">
        <is>
          <t>FTE</t>
        </is>
      </c>
    </row>
    <row r="7">
      <c r="A7" t="inlineStr">
        <is>
          <t>Average loaded cost / FTE / hour</t>
        </is>
      </c>
      <c r="B7" s="5" t="n">
        <v>285</v>
      </c>
      <c r="C7" t="inlineStr">
        <is>
          <t>ZAR</t>
        </is>
      </c>
    </row>
    <row r="8">
      <c r="A8" t="inlineStr"/>
      <c r="B8" t="inlineStr"/>
      <c r="C8" t="inlineStr"/>
    </row>
    <row r="9">
      <c r="A9" s="3" t="inlineStr">
        <is>
          <t>Threat baseline (annual, pre-Phishield)</t>
        </is>
      </c>
    </row>
    <row r="10">
      <c r="A10" t="inlineStr">
        <is>
          <t>Phishing emails received / user / month</t>
        </is>
      </c>
      <c r="B10" s="4" t="n">
        <v>18</v>
      </c>
      <c r="C10" t="inlineStr">
        <is>
          <t>count</t>
        </is>
      </c>
    </row>
    <row r="11">
      <c r="A11" t="inlineStr">
        <is>
          <t>Click-through rate (untrained)</t>
        </is>
      </c>
      <c r="B11" s="6" t="n">
        <v>0.045</v>
      </c>
      <c r="C11" t="inlineStr">
        <is>
          <t>%</t>
        </is>
      </c>
    </row>
    <row r="12">
      <c r="A12" t="inlineStr">
        <is>
          <t>Successful credential compromises / yr</t>
        </is>
      </c>
      <c r="B12" s="4" t="n">
        <v>3</v>
      </c>
      <c r="C12" t="inlineStr">
        <is>
          <t>count</t>
        </is>
      </c>
    </row>
    <row r="13">
      <c r="A13" t="inlineStr">
        <is>
          <t>Avg incident response cost (per incident)</t>
        </is>
      </c>
      <c r="B13" s="5" t="n">
        <v>78000</v>
      </c>
      <c r="C13" t="inlineStr">
        <is>
          <t>ZAR</t>
        </is>
      </c>
    </row>
    <row r="14">
      <c r="A14" t="inlineStr">
        <is>
          <t>Probability of major breach / yr</t>
        </is>
      </c>
      <c r="B14" s="6" t="n">
        <v>0.08</v>
      </c>
      <c r="C14" t="inlineStr">
        <is>
          <t>%</t>
        </is>
      </c>
    </row>
    <row r="15">
      <c r="A15" t="inlineStr">
        <is>
          <t>Estimated major-breach loss</t>
        </is>
      </c>
      <c r="B15" s="5" t="n">
        <v>2400000</v>
      </c>
      <c r="C15" t="inlineStr">
        <is>
          <t>ZAR</t>
        </is>
      </c>
    </row>
    <row r="16">
      <c r="A16" t="inlineStr">
        <is>
          <t>Productivity loss / phishing triage (min)</t>
        </is>
      </c>
      <c r="B16" s="4" t="n">
        <v>12</v>
      </c>
      <c r="C16" t="inlineStr">
        <is>
          <t>min</t>
        </is>
      </c>
    </row>
    <row r="17">
      <c r="A17" t="inlineStr"/>
      <c r="B17" t="inlineStr"/>
      <c r="C17" t="inlineStr"/>
    </row>
    <row r="18">
      <c r="A18" s="3" t="inlineStr">
        <is>
          <t>Phishield package</t>
        </is>
      </c>
    </row>
    <row r="19">
      <c r="A19" t="inlineStr">
        <is>
          <t>Tier</t>
        </is>
      </c>
      <c r="B19" s="7" t="inlineStr">
        <is>
          <t>Business 50</t>
        </is>
      </c>
      <c r="C19" t="inlineStr">
        <is>
          <t>—</t>
        </is>
      </c>
    </row>
    <row r="20">
      <c r="A20" t="inlineStr">
        <is>
          <t>Annual subscription</t>
        </is>
      </c>
      <c r="B20" s="5" t="n">
        <v>96000</v>
      </c>
      <c r="C20" t="inlineStr">
        <is>
          <t>ZAR</t>
        </is>
      </c>
    </row>
    <row r="21">
      <c r="A21" t="inlineStr">
        <is>
          <t>One-off onboarding</t>
        </is>
      </c>
      <c r="B21" s="5" t="n">
        <v>18500</v>
      </c>
      <c r="C21" t="inlineStr">
        <is>
          <t>ZAR</t>
        </is>
      </c>
    </row>
    <row r="22">
      <c r="A22" t="inlineStr">
        <is>
          <t>Internal admin time (hrs / yr)</t>
        </is>
      </c>
      <c r="B22" s="4" t="n">
        <v>40</v>
      </c>
      <c r="C22" t="inlineStr">
        <is>
          <t>hrs</t>
        </is>
      </c>
    </row>
    <row r="23">
      <c r="A23" t="inlineStr"/>
      <c r="B23" t="inlineStr"/>
      <c r="C23" t="inlineStr"/>
    </row>
    <row r="24">
      <c r="A24" s="3" t="inlineStr">
        <is>
          <t>Efficacy assumptions (Phishield Year 1)</t>
        </is>
      </c>
    </row>
    <row r="25">
      <c r="A25" t="inlineStr">
        <is>
          <t>Phishing block rate</t>
        </is>
      </c>
      <c r="B25" s="6" t="n">
        <v>0.92</v>
      </c>
      <c r="C25" t="inlineStr">
        <is>
          <t>%</t>
        </is>
      </c>
    </row>
    <row r="26">
      <c r="A26" t="inlineStr">
        <is>
          <t>Click-through rate reduction (training)</t>
        </is>
      </c>
      <c r="B26" s="6" t="n">
        <v>0.7</v>
      </c>
      <c r="C26" t="inlineStr">
        <is>
          <t>%</t>
        </is>
      </c>
    </row>
    <row r="27">
      <c r="A27" t="inlineStr">
        <is>
          <t>Incident response time saved</t>
        </is>
      </c>
      <c r="B27" s="6" t="n">
        <v>0.55</v>
      </c>
      <c r="C27" t="inlineStr">
        <is>
          <t>%</t>
        </is>
      </c>
    </row>
    <row r="28">
      <c r="A28" t="inlineStr">
        <is>
          <t>Major-breach probability reduction</t>
        </is>
      </c>
      <c r="B28" s="6" t="n">
        <v>0.65</v>
      </c>
      <c r="C28" t="inlineStr">
        <is>
          <t>%</t>
        </is>
      </c>
    </row>
  </sheetData>
  <mergeCells count="6">
    <mergeCell ref="A1:C1"/>
    <mergeCell ref="A9:C9"/>
    <mergeCell ref="A18:C18"/>
    <mergeCell ref="A4:C4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</cols>
  <sheetData>
    <row r="1">
      <c r="A1" s="1" t="inlineStr">
        <is>
          <t>Phishield Total Cost (Year 1 &amp; Year 2+)</t>
        </is>
      </c>
    </row>
    <row r="3">
      <c r="A3" s="8" t="inlineStr">
        <is>
          <t>Cost line</t>
        </is>
      </c>
      <c r="B3" s="8" t="inlineStr">
        <is>
          <t>Year 1</t>
        </is>
      </c>
      <c r="C3" s="8" t="inlineStr">
        <is>
          <t>Year 2</t>
        </is>
      </c>
      <c r="D3" s="8" t="inlineStr">
        <is>
          <t>Notes</t>
        </is>
      </c>
    </row>
    <row r="4">
      <c r="A4" t="inlineStr">
        <is>
          <t>Annual subscription</t>
        </is>
      </c>
      <c r="B4" s="9">
        <f>Inputs!B20</f>
        <v/>
      </c>
      <c r="C4" s="9">
        <f>Inputs!B20</f>
        <v/>
      </c>
      <c r="D4" t="inlineStr">
        <is>
          <t>Recurring</t>
        </is>
      </c>
    </row>
    <row r="5">
      <c r="A5" t="inlineStr">
        <is>
          <t>Onboarding (one-off)</t>
        </is>
      </c>
      <c r="B5" s="9">
        <f>Inputs!B21</f>
        <v/>
      </c>
      <c r="C5" s="9" t="n">
        <v>0</v>
      </c>
      <c r="D5" t="inlineStr">
        <is>
          <t>Year 1 only</t>
        </is>
      </c>
    </row>
    <row r="6">
      <c r="A6" t="inlineStr">
        <is>
          <t>Internal admin time</t>
        </is>
      </c>
      <c r="B6" s="9">
        <f>Inputs!B22*Inputs!B7</f>
        <v/>
      </c>
      <c r="C6" s="9">
        <f>Inputs!B22*Inputs!B7*0.6</f>
        <v/>
      </c>
      <c r="D6" t="inlineStr">
        <is>
          <t>Yr2 lower (steady state)</t>
        </is>
      </c>
    </row>
    <row r="7">
      <c r="A7" s="10" t="inlineStr">
        <is>
          <t>Total cost</t>
        </is>
      </c>
      <c r="B7" s="11">
        <f>SUM(B4:B6)</f>
        <v/>
      </c>
      <c r="C7" s="11">
        <f>SUM(C4:C6)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2" customWidth="1" min="3" max="3"/>
    <col width="14" customWidth="1" min="4" max="4"/>
  </cols>
  <sheetData>
    <row r="1">
      <c r="A1" s="1" t="inlineStr">
        <is>
          <t>Annualised Savings &amp; Loss Avoidance</t>
        </is>
      </c>
    </row>
    <row r="3">
      <c r="A3" s="8" t="inlineStr">
        <is>
          <t>Savings line</t>
        </is>
      </c>
      <c r="B3" s="8" t="inlineStr">
        <is>
          <t>Annual value</t>
        </is>
      </c>
      <c r="C3" s="8" t="inlineStr">
        <is>
          <t>Calculation</t>
        </is>
      </c>
      <c r="D3" s="8" t="inlineStr">
        <is>
          <t>Source</t>
        </is>
      </c>
    </row>
    <row r="4">
      <c r="A4" t="inlineStr">
        <is>
          <t>Triage productivity recovered</t>
        </is>
      </c>
      <c r="B4" s="9">
        <f>(Inputs!B10*12*Inputs!B6)*Inputs!B25*(Inputs!B16/60)*Inputs!B7</f>
        <v/>
      </c>
      <c r="C4" t="inlineStr">
        <is>
          <t>Blocked emails × triage time saved × loaded rate</t>
        </is>
      </c>
      <c r="D4" t="inlineStr">
        <is>
          <t>Inputs</t>
        </is>
      </c>
    </row>
    <row r="5">
      <c r="A5" t="inlineStr">
        <is>
          <t>Avoided credential compromises</t>
        </is>
      </c>
      <c r="B5" s="9">
        <f>Inputs!B12*Inputs!B26*Inputs!B13</f>
        <v/>
      </c>
      <c r="C5" t="inlineStr">
        <is>
          <t>Compromises × reduction × IR cost</t>
        </is>
      </c>
      <c r="D5" t="inlineStr">
        <is>
          <t>Inputs</t>
        </is>
      </c>
    </row>
    <row r="6">
      <c r="A6" t="inlineStr">
        <is>
          <t>Faster incident response</t>
        </is>
      </c>
      <c r="B6" s="9">
        <f>Inputs!B12*Inputs!B13*Inputs!B27*0.4</f>
        <v/>
      </c>
      <c r="C6" t="inlineStr">
        <is>
          <t>Residual incidents × IR cost × time-saved × IR-share</t>
        </is>
      </c>
      <c r="D6" t="inlineStr">
        <is>
          <t>Inputs</t>
        </is>
      </c>
    </row>
    <row r="7">
      <c r="A7" t="inlineStr">
        <is>
          <t>Major-breach loss avoided (expected value)</t>
        </is>
      </c>
      <c r="B7" s="9">
        <f>Inputs!B14*Inputs!B15*Inputs!B28</f>
        <v/>
      </c>
      <c r="C7" t="inlineStr">
        <is>
          <t>P(breach) × loss × probability reduction</t>
        </is>
      </c>
      <c r="D7" t="inlineStr">
        <is>
          <t>Inputs</t>
        </is>
      </c>
    </row>
    <row r="8">
      <c r="A8" s="10" t="inlineStr">
        <is>
          <t>Total annual savings</t>
        </is>
      </c>
      <c r="B8" s="11">
        <f>SUM(B4:B7)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ROI Summary — Cherry Rain</t>
        </is>
      </c>
    </row>
    <row r="3">
      <c r="A3" s="8" t="inlineStr">
        <is>
          <t>Metric</t>
        </is>
      </c>
      <c r="B3" s="8" t="inlineStr">
        <is>
          <t>Year 1</t>
        </is>
      </c>
      <c r="C3" s="8" t="inlineStr">
        <is>
          <t>Year 2</t>
        </is>
      </c>
    </row>
    <row r="4">
      <c r="A4" s="12" t="inlineStr">
        <is>
          <t>Total cost</t>
        </is>
      </c>
      <c r="B4" s="9">
        <f>Costs!B7</f>
        <v/>
      </c>
      <c r="C4" s="9">
        <f>Costs!C7</f>
        <v/>
      </c>
    </row>
    <row r="5">
      <c r="A5" s="12" t="inlineStr">
        <is>
          <t>Total annual savings</t>
        </is>
      </c>
      <c r="B5" s="9">
        <f>Savings!B8</f>
        <v/>
      </c>
      <c r="C5" s="9">
        <f>Savings!B8</f>
        <v/>
      </c>
    </row>
    <row r="6">
      <c r="A6" s="12" t="inlineStr">
        <is>
          <t>Net benefit</t>
        </is>
      </c>
      <c r="B6" s="11">
        <f>B5-B4</f>
        <v/>
      </c>
      <c r="C6" s="11">
        <f>C5-C4</f>
        <v/>
      </c>
    </row>
    <row r="7">
      <c r="A7" s="12" t="inlineStr">
        <is>
          <t>ROI (%)</t>
        </is>
      </c>
      <c r="B7" s="13">
        <f>B6/B4</f>
        <v/>
      </c>
      <c r="C7" s="13">
        <f>C6/C4</f>
        <v/>
      </c>
    </row>
    <row r="8">
      <c r="A8" s="12" t="inlineStr">
        <is>
          <t>Payback period (months)</t>
        </is>
      </c>
      <c r="B8" s="14">
        <f>B4/(B5/12)</f>
        <v/>
      </c>
      <c r="C8" s="14">
        <f>C4/(C5/12)</f>
        <v/>
      </c>
    </row>
    <row r="9">
      <c r="A9" s="12" t="inlineStr">
        <is>
          <t>Cost / FTE / month</t>
        </is>
      </c>
      <c r="B9" s="15">
        <f>B4/Inputs!B5/12</f>
        <v/>
      </c>
      <c r="C9" s="15">
        <f>C4/Inputs!B5/12</f>
        <v/>
      </c>
    </row>
    <row r="11">
      <c r="A11" s="3" t="inlineStr">
        <is>
          <t>Interpretation</t>
        </is>
      </c>
    </row>
    <row r="12" ht="50" customHeight="1">
      <c r="A12" s="16" t="inlineStr">
        <is>
          <t>Year 1 ROI is suppressed by onboarding cost; steady-state Year 2 reflects the recurring economics. Major-breach EV is the dominant savings line — stress-test it on the Sensitivity sheet.</t>
        </is>
      </c>
    </row>
    <row r="13"/>
    <row r="14"/>
  </sheetData>
  <mergeCells count="3">
    <mergeCell ref="A1:C1"/>
    <mergeCell ref="A11:C11"/>
    <mergeCell ref="A12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Sensitivity — Year 1 Net Benefit vs Major-Breach Assumptions</t>
        </is>
      </c>
    </row>
    <row r="3">
      <c r="A3" s="17" t="inlineStr">
        <is>
          <t>Rows: P(major breach). Cols: probability reduction. Values: Year 1 net benefit (ZAR).</t>
        </is>
      </c>
    </row>
    <row r="5">
      <c r="A5" s="3" t="inlineStr">
        <is>
          <t>P(breach) \ Reduction</t>
        </is>
      </c>
      <c r="B5" s="18" t="n">
        <v>0.3</v>
      </c>
      <c r="C5" s="18" t="n">
        <v>0.45</v>
      </c>
      <c r="D5" s="18" t="n">
        <v>0.6</v>
      </c>
      <c r="E5" s="18" t="n">
        <v>0.75</v>
      </c>
      <c r="F5" s="18" t="n">
        <v>0.9</v>
      </c>
    </row>
    <row r="6">
      <c r="A6" s="19" t="n">
        <v>0.02</v>
      </c>
      <c r="B6" s="20">
        <f>((Inputs!B10*12*Inputs!B6)*Inputs!B25*(Inputs!B16/60)*Inputs!B7+Inputs!B12*Inputs!B26*Inputs!B13+Inputs!B12*Inputs!B13*Inputs!B27*0.4 + 0.02*Inputs!B15*0.3)-Costs!B7</f>
        <v/>
      </c>
      <c r="C6" s="20">
        <f>((Inputs!B10*12*Inputs!B6)*Inputs!B25*(Inputs!B16/60)*Inputs!B7+Inputs!B12*Inputs!B26*Inputs!B13+Inputs!B12*Inputs!B13*Inputs!B27*0.4 + 0.02*Inputs!B15*0.45)-Costs!B7</f>
        <v/>
      </c>
      <c r="D6" s="20">
        <f>((Inputs!B10*12*Inputs!B6)*Inputs!B25*(Inputs!B16/60)*Inputs!B7+Inputs!B12*Inputs!B26*Inputs!B13+Inputs!B12*Inputs!B13*Inputs!B27*0.4 + 0.02*Inputs!B15*0.6)-Costs!B7</f>
        <v/>
      </c>
      <c r="E6" s="20">
        <f>((Inputs!B10*12*Inputs!B6)*Inputs!B25*(Inputs!B16/60)*Inputs!B7+Inputs!B12*Inputs!B26*Inputs!B13+Inputs!B12*Inputs!B13*Inputs!B27*0.4 + 0.02*Inputs!B15*0.75)-Costs!B7</f>
        <v/>
      </c>
      <c r="F6" s="20">
        <f>((Inputs!B10*12*Inputs!B6)*Inputs!B25*(Inputs!B16/60)*Inputs!B7+Inputs!B12*Inputs!B26*Inputs!B13+Inputs!B12*Inputs!B13*Inputs!B27*0.4 + 0.02*Inputs!B15*0.9)-Costs!B7</f>
        <v/>
      </c>
    </row>
    <row r="7">
      <c r="A7" s="19" t="n">
        <v>0.05</v>
      </c>
      <c r="B7" s="20">
        <f>((Inputs!B10*12*Inputs!B6)*Inputs!B25*(Inputs!B16/60)*Inputs!B7+Inputs!B12*Inputs!B26*Inputs!B13+Inputs!B12*Inputs!B13*Inputs!B27*0.4 + 0.05*Inputs!B15*0.3)-Costs!B7</f>
        <v/>
      </c>
      <c r="C7" s="20">
        <f>((Inputs!B10*12*Inputs!B6)*Inputs!B25*(Inputs!B16/60)*Inputs!B7+Inputs!B12*Inputs!B26*Inputs!B13+Inputs!B12*Inputs!B13*Inputs!B27*0.4 + 0.05*Inputs!B15*0.45)-Costs!B7</f>
        <v/>
      </c>
      <c r="D7" s="20">
        <f>((Inputs!B10*12*Inputs!B6)*Inputs!B25*(Inputs!B16/60)*Inputs!B7+Inputs!B12*Inputs!B26*Inputs!B13+Inputs!B12*Inputs!B13*Inputs!B27*0.4 + 0.05*Inputs!B15*0.6)-Costs!B7</f>
        <v/>
      </c>
      <c r="E7" s="20">
        <f>((Inputs!B10*12*Inputs!B6)*Inputs!B25*(Inputs!B16/60)*Inputs!B7+Inputs!B12*Inputs!B26*Inputs!B13+Inputs!B12*Inputs!B13*Inputs!B27*0.4 + 0.05*Inputs!B15*0.75)-Costs!B7</f>
        <v/>
      </c>
      <c r="F7" s="20">
        <f>((Inputs!B10*12*Inputs!B6)*Inputs!B25*(Inputs!B16/60)*Inputs!B7+Inputs!B12*Inputs!B26*Inputs!B13+Inputs!B12*Inputs!B13*Inputs!B27*0.4 + 0.05*Inputs!B15*0.9)-Costs!B7</f>
        <v/>
      </c>
    </row>
    <row r="8">
      <c r="A8" s="19" t="n">
        <v>0.08</v>
      </c>
      <c r="B8" s="20">
        <f>((Inputs!B10*12*Inputs!B6)*Inputs!B25*(Inputs!B16/60)*Inputs!B7+Inputs!B12*Inputs!B26*Inputs!B13+Inputs!B12*Inputs!B13*Inputs!B27*0.4 + 0.08*Inputs!B15*0.3)-Costs!B7</f>
        <v/>
      </c>
      <c r="C8" s="20">
        <f>((Inputs!B10*12*Inputs!B6)*Inputs!B25*(Inputs!B16/60)*Inputs!B7+Inputs!B12*Inputs!B26*Inputs!B13+Inputs!B12*Inputs!B13*Inputs!B27*0.4 + 0.08*Inputs!B15*0.45)-Costs!B7</f>
        <v/>
      </c>
      <c r="D8" s="20">
        <f>((Inputs!B10*12*Inputs!B6)*Inputs!B25*(Inputs!B16/60)*Inputs!B7+Inputs!B12*Inputs!B26*Inputs!B13+Inputs!B12*Inputs!B13*Inputs!B27*0.4 + 0.08*Inputs!B15*0.6)-Costs!B7</f>
        <v/>
      </c>
      <c r="E8" s="20">
        <f>((Inputs!B10*12*Inputs!B6)*Inputs!B25*(Inputs!B16/60)*Inputs!B7+Inputs!B12*Inputs!B26*Inputs!B13+Inputs!B12*Inputs!B13*Inputs!B27*0.4 + 0.08*Inputs!B15*0.75)-Costs!B7</f>
        <v/>
      </c>
      <c r="F8" s="20">
        <f>((Inputs!B10*12*Inputs!B6)*Inputs!B25*(Inputs!B16/60)*Inputs!B7+Inputs!B12*Inputs!B26*Inputs!B13+Inputs!B12*Inputs!B13*Inputs!B27*0.4 + 0.08*Inputs!B15*0.9)-Costs!B7</f>
        <v/>
      </c>
    </row>
    <row r="9">
      <c r="A9" s="19" t="n">
        <v>0.12</v>
      </c>
      <c r="B9" s="20">
        <f>((Inputs!B10*12*Inputs!B6)*Inputs!B25*(Inputs!B16/60)*Inputs!B7+Inputs!B12*Inputs!B26*Inputs!B13+Inputs!B12*Inputs!B13*Inputs!B27*0.4 + 0.12*Inputs!B15*0.3)-Costs!B7</f>
        <v/>
      </c>
      <c r="C9" s="20">
        <f>((Inputs!B10*12*Inputs!B6)*Inputs!B25*(Inputs!B16/60)*Inputs!B7+Inputs!B12*Inputs!B26*Inputs!B13+Inputs!B12*Inputs!B13*Inputs!B27*0.4 + 0.12*Inputs!B15*0.45)-Costs!B7</f>
        <v/>
      </c>
      <c r="D9" s="20">
        <f>((Inputs!B10*12*Inputs!B6)*Inputs!B25*(Inputs!B16/60)*Inputs!B7+Inputs!B12*Inputs!B26*Inputs!B13+Inputs!B12*Inputs!B13*Inputs!B27*0.4 + 0.12*Inputs!B15*0.6)-Costs!B7</f>
        <v/>
      </c>
      <c r="E9" s="20">
        <f>((Inputs!B10*12*Inputs!B6)*Inputs!B25*(Inputs!B16/60)*Inputs!B7+Inputs!B12*Inputs!B26*Inputs!B13+Inputs!B12*Inputs!B13*Inputs!B27*0.4 + 0.12*Inputs!B15*0.75)-Costs!B7</f>
        <v/>
      </c>
      <c r="F9" s="20">
        <f>((Inputs!B10*12*Inputs!B6)*Inputs!B25*(Inputs!B16/60)*Inputs!B7+Inputs!B12*Inputs!B26*Inputs!B13+Inputs!B12*Inputs!B13*Inputs!B27*0.4 + 0.12*Inputs!B15*0.9)-Costs!B7</f>
        <v/>
      </c>
    </row>
    <row r="10">
      <c r="A10" s="19" t="n">
        <v>0.18</v>
      </c>
      <c r="B10" s="20">
        <f>((Inputs!B10*12*Inputs!B6)*Inputs!B25*(Inputs!B16/60)*Inputs!B7+Inputs!B12*Inputs!B26*Inputs!B13+Inputs!B12*Inputs!B13*Inputs!B27*0.4 + 0.18*Inputs!B15*0.3)-Costs!B7</f>
        <v/>
      </c>
      <c r="C10" s="20">
        <f>((Inputs!B10*12*Inputs!B6)*Inputs!B25*(Inputs!B16/60)*Inputs!B7+Inputs!B12*Inputs!B26*Inputs!B13+Inputs!B12*Inputs!B13*Inputs!B27*0.4 + 0.18*Inputs!B15*0.45)-Costs!B7</f>
        <v/>
      </c>
      <c r="D10" s="20">
        <f>((Inputs!B10*12*Inputs!B6)*Inputs!B25*(Inputs!B16/60)*Inputs!B7+Inputs!B12*Inputs!B26*Inputs!B13+Inputs!B12*Inputs!B13*Inputs!B27*0.4 + 0.18*Inputs!B15*0.6)-Costs!B7</f>
        <v/>
      </c>
      <c r="E10" s="20">
        <f>((Inputs!B10*12*Inputs!B6)*Inputs!B25*(Inputs!B16/60)*Inputs!B7+Inputs!B12*Inputs!B26*Inputs!B13+Inputs!B12*Inputs!B13*Inputs!B27*0.4 + 0.18*Inputs!B15*0.75)-Costs!B7</f>
        <v/>
      </c>
      <c r="F10" s="20">
        <f>((Inputs!B10*12*Inputs!B6)*Inputs!B25*(Inputs!B16/60)*Inputs!B7+Inputs!B12*Inputs!B26*Inputs!B13+Inputs!B12*Inputs!B13*Inputs!B27*0.4 + 0.18*Inputs!B15*0.9)-Costs!B7</f>
        <v/>
      </c>
    </row>
    <row r="13">
      <c r="A13" s="2" t="inlineStr">
        <is>
          <t>Read: at the baseline P=8% × reduction=65% the model returns the headline Year 1 net benefit shown on the ROI Summary.</t>
        </is>
      </c>
    </row>
  </sheetData>
  <mergeCells count="3">
    <mergeCell ref="A13:G13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2026-04-30T11:45:59Z</dcterms:created>
  <dcterms:modified xmlns:dcterms="http://purl.org/dc/terms/" xmlns:xsi="http://www.w3.org/2001/XMLSchema-instance" xsi:type="dcterms:W3CDTF">2026-04-30T11:45:59Z</dcterms:modified>
</cp:coreProperties>
</file>